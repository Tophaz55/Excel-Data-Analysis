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F5FC4723-E829-4234-AC1B-4BA3AD5398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RT" sheetId="1" r:id="rId1"/>
    <sheet name="SORTB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55" i="1" l="1" a="1"/>
  <c r="R55" i="1" s="1"/>
  <c r="U39" i="1" a="1"/>
  <c r="U39" i="1" s="1"/>
  <c r="L39" i="1" a="1"/>
  <c r="L39" i="1" s="1"/>
  <c r="F38" i="1" a="1"/>
  <c r="F38" i="1" s="1"/>
  <c r="A38" i="1" a="1"/>
  <c r="A38" i="1" s="1"/>
  <c r="Q2" i="1" a="1"/>
  <c r="Q2" i="1" s="1"/>
  <c r="L2" i="1" a="1"/>
  <c r="L2" i="1" s="1"/>
  <c r="Q21" i="1" a="1"/>
  <c r="Q21" i="1" s="1"/>
  <c r="L21" i="1" a="1"/>
  <c r="L21" i="1" s="1"/>
  <c r="G21" i="1" a="1"/>
  <c r="G21" i="1" s="1"/>
  <c r="F21" i="1" a="1"/>
  <c r="F21" i="1" s="1"/>
  <c r="D2" i="3" a="1"/>
  <c r="D2" i="3" s="1"/>
  <c r="F2" i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<sst xmlns="http://schemas.openxmlformats.org/spreadsheetml/2006/main" count="123" uniqueCount="26">
  <si>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</si>
  <si>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</si>
  <si>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</si>
  <si>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</si>
  <si>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</si>
  <si>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</si>
  <si>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</si>
  <si>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</si>
  <si>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</si>
  <si>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</si>
  <si>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</si>
  <si>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</si>
  <si>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</si>
  <si>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</si>
  <si>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</si>
  <si>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Name</t>
  </si>
  <si>
    <t>Age</t>
  </si>
  <si>
    <t>Marilyn</t>
  </si>
  <si>
    <t>Justin</t>
  </si>
  <si>
    <t>Gabriel</t>
  </si>
  <si>
    <t>Carol</t>
  </si>
  <si>
    <t>Andrew</t>
  </si>
  <si>
    <t>Rachel</t>
  </si>
  <si>
    <t>sort function</t>
  </si>
  <si>
    <t>The advanced SORT function below sorts by Last Name first (in ascending order) and by Sales second (in descending order).</t>
  </si>
  <si>
    <t>SORTBY function in Excel to sort a range based on the values in a corresponding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</si>
</sst>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0" xfId="0" applyBorder="1"/>
    <xf numFmtId="0" fontId="1" fillId="0" borderId="0" xfId="0" applyFont="1" applyBorder="1"/>
    <xf numFmtId="164" fontId="0" fillId="0" borderId="0" xfId="0" applyNumberFormat="1" applyBorder="1"/>
    <xf numFmtId="0" fontId="0" fillId="2" borderId="0" xfId="0" applyFill="1" applyBorder="1"/>
    <xf numFmtId="0" fontId="0" fillId="0" borderId="0" xfId="0" applyAlignme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abSelected="1" topLeftCell="A37" workbookViewId="0">
      <selection activeCell="R55" sqref="R55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  <col min="5" max="5" width="5.109375" customWidth="1"/>
    <col min="6" max="7" width="10.109375" bestFit="1" customWidth="1"/>
    <col min="8" max="8" width="8" bestFit="1" customWidth="1"/>
    <col min="9" max="9" width="7.88671875" bestFit="1" customWidth="1"/>
    <col min="10" max="10" width="5" customWidth="1"/>
    <col min="14" max="14" width="15.21875" customWidth="1"/>
    <col min="19" max="19" width="11.109375" customWidth="1"/>
    <col min="20" max="20" width="9.2187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F1" s="1" t="s">
        <v>0</v>
      </c>
      <c r="G1" s="1" t="s">
        <v>1</v>
      </c>
      <c r="H1" s="1" t="s">
        <v>2</v>
      </c>
      <c r="I1" s="1" t="s">
        <v>3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">
      <c r="A2" s="4" t="s">
        <v>4</v>
      </c>
      <c r="B2" s="5">
        <v>16753</v>
      </c>
      <c r="C2" s="4" t="s">
        <v>5</v>
      </c>
      <c r="D2" s="4" t="s">
        <v>6</v>
      </c>
      <c r="F2" t="str" cm="1">
        <f t="array" ref="F2:I15">_xlfn._xlws.SORT(A2:D15,{1,2},{1,-1})</f>
        <v>Brown</v>
      </c>
      <c r="G2" s="2">
        <v>4865</v>
      </c>
      <c r="H2" t="str">
        <v>USA</v>
      </c>
      <c r="I2" t="str">
        <v>Qtr 4</v>
      </c>
      <c r="L2" s="11" t="str" cm="1">
        <f t="array" ref="L2:O15">_xlfn._xlws.SORT(A21:D34,2,)</f>
        <v>Jones</v>
      </c>
      <c r="M2" s="8">
        <v>1390</v>
      </c>
      <c r="N2" s="8" t="str">
        <v>USA</v>
      </c>
      <c r="O2" s="8" t="str">
        <v>Qtr 3</v>
      </c>
      <c r="P2" s="8"/>
      <c r="Q2" s="11" t="str" cm="1">
        <f t="array" ref="Q2:T15">_xlfn._xlws.SORT(A21:D34,4,1,FALSE)</f>
        <v>Williams</v>
      </c>
      <c r="R2" s="8">
        <v>12438</v>
      </c>
      <c r="S2" s="8" t="str">
        <v>UK</v>
      </c>
      <c r="T2" s="8" t="str">
        <v>Qtr 1</v>
      </c>
      <c r="U2" s="8"/>
      <c r="V2" s="8"/>
    </row>
    <row r="3" spans="1:22" x14ac:dyDescent="0.3">
      <c r="A3" s="4" t="s">
        <v>7</v>
      </c>
      <c r="B3" s="5">
        <v>14808</v>
      </c>
      <c r="C3" s="4" t="s">
        <v>8</v>
      </c>
      <c r="D3" s="4" t="s">
        <v>9</v>
      </c>
      <c r="F3" t="str">
        <v>Brown</v>
      </c>
      <c r="G3" s="2">
        <v>3255</v>
      </c>
      <c r="H3" t="str">
        <v>USA</v>
      </c>
      <c r="I3" t="str">
        <v>Qtr 2</v>
      </c>
      <c r="L3" s="8" t="str">
        <v>Brown</v>
      </c>
      <c r="M3" s="9">
        <v>3255</v>
      </c>
      <c r="N3" s="9" t="str">
        <v>USA</v>
      </c>
      <c r="O3" s="9" t="str">
        <v>Qtr 2</v>
      </c>
      <c r="P3" s="9"/>
      <c r="Q3" s="8" t="str">
        <v>Jones</v>
      </c>
      <c r="R3" s="8">
        <v>7433</v>
      </c>
      <c r="S3" s="9" t="str">
        <v>UK</v>
      </c>
      <c r="T3" s="9" t="str">
        <v>Qtr 1</v>
      </c>
      <c r="U3" s="9"/>
      <c r="V3" s="9"/>
    </row>
    <row r="4" spans="1:22" x14ac:dyDescent="0.3">
      <c r="A4" s="4" t="s">
        <v>10</v>
      </c>
      <c r="B4" s="5">
        <v>10644</v>
      </c>
      <c r="C4" s="4" t="s">
        <v>5</v>
      </c>
      <c r="D4" s="4" t="s">
        <v>11</v>
      </c>
      <c r="F4" t="str">
        <v>Johnson</v>
      </c>
      <c r="G4" s="2">
        <v>14808</v>
      </c>
      <c r="H4" t="str">
        <v>USA</v>
      </c>
      <c r="I4" t="str">
        <v>Qtr 4</v>
      </c>
      <c r="L4" s="8" t="str">
        <v>Brown</v>
      </c>
      <c r="M4" s="8">
        <v>4865</v>
      </c>
      <c r="N4" s="10" t="str">
        <v>USA</v>
      </c>
      <c r="O4" s="8" t="str">
        <v>Qtr 4</v>
      </c>
      <c r="P4" s="8"/>
      <c r="Q4" s="8" t="str">
        <v>Smith</v>
      </c>
      <c r="R4" s="8">
        <v>9698</v>
      </c>
      <c r="S4" s="8" t="str">
        <v>USA</v>
      </c>
      <c r="T4" s="10" t="str">
        <v>Qtr 1</v>
      </c>
      <c r="U4" s="8"/>
      <c r="V4" s="8"/>
    </row>
    <row r="5" spans="1:22" x14ac:dyDescent="0.3">
      <c r="A5" s="4" t="s">
        <v>12</v>
      </c>
      <c r="B5" s="5">
        <v>1390</v>
      </c>
      <c r="C5" s="4" t="s">
        <v>8</v>
      </c>
      <c r="D5" s="4" t="s">
        <v>6</v>
      </c>
      <c r="F5" t="str">
        <v>Johnson</v>
      </c>
      <c r="G5" s="2">
        <v>9339</v>
      </c>
      <c r="H5" t="str">
        <v>UK</v>
      </c>
      <c r="I5" t="str">
        <v>Qtr 2</v>
      </c>
      <c r="L5" s="8" t="str">
        <v>Jones</v>
      </c>
      <c r="M5" s="8">
        <v>7433</v>
      </c>
      <c r="N5" s="10" t="str">
        <v>UK</v>
      </c>
      <c r="O5" s="8" t="str">
        <v>Qtr 1</v>
      </c>
      <c r="P5" s="8"/>
      <c r="Q5" s="8" t="str">
        <v>Williams</v>
      </c>
      <c r="R5" s="8">
        <v>10644</v>
      </c>
      <c r="S5" s="8" t="str">
        <v>UK</v>
      </c>
      <c r="T5" s="10" t="str">
        <v>Qtr 2</v>
      </c>
      <c r="U5" s="8"/>
      <c r="V5" s="8"/>
    </row>
    <row r="6" spans="1:22" x14ac:dyDescent="0.3">
      <c r="A6" s="4" t="s">
        <v>13</v>
      </c>
      <c r="B6" s="5">
        <v>4865</v>
      </c>
      <c r="C6" s="4" t="s">
        <v>8</v>
      </c>
      <c r="D6" s="4" t="s">
        <v>9</v>
      </c>
      <c r="F6" t="str">
        <v>Jones</v>
      </c>
      <c r="G6" s="2">
        <v>9213</v>
      </c>
      <c r="H6" t="str">
        <v>USA</v>
      </c>
      <c r="I6" t="str">
        <v>Qtr 4</v>
      </c>
      <c r="L6" s="8" t="str">
        <v>Jones</v>
      </c>
      <c r="M6" s="8">
        <v>9213</v>
      </c>
      <c r="N6" s="10" t="str">
        <v>USA</v>
      </c>
      <c r="O6" s="8" t="str">
        <v>Qtr 4</v>
      </c>
      <c r="P6" s="8"/>
      <c r="Q6" s="8" t="str">
        <v>Johnson</v>
      </c>
      <c r="R6" s="8">
        <v>9339</v>
      </c>
      <c r="S6" s="8" t="str">
        <v>UK</v>
      </c>
      <c r="T6" s="10" t="str">
        <v>Qtr 2</v>
      </c>
      <c r="U6" s="8"/>
      <c r="V6" s="8"/>
    </row>
    <row r="7" spans="1:22" x14ac:dyDescent="0.3">
      <c r="A7" s="4" t="s">
        <v>10</v>
      </c>
      <c r="B7" s="5">
        <v>12438</v>
      </c>
      <c r="C7" s="4" t="s">
        <v>5</v>
      </c>
      <c r="D7" s="4" t="s">
        <v>14</v>
      </c>
      <c r="F7" t="str">
        <v>Jones</v>
      </c>
      <c r="G7" s="2">
        <v>7433</v>
      </c>
      <c r="H7" t="str">
        <v>UK</v>
      </c>
      <c r="I7" t="str">
        <v>Qtr 1</v>
      </c>
      <c r="L7" s="8" t="str">
        <v>Johnson</v>
      </c>
      <c r="M7" s="8">
        <v>9339</v>
      </c>
      <c r="N7" s="10" t="str">
        <v>UK</v>
      </c>
      <c r="O7" s="8" t="str">
        <v>Qtr 2</v>
      </c>
      <c r="P7" s="8"/>
      <c r="Q7" s="8" t="str">
        <v>Brown</v>
      </c>
      <c r="R7" s="8">
        <v>3255</v>
      </c>
      <c r="S7" s="8" t="str">
        <v>USA</v>
      </c>
      <c r="T7" s="10" t="str">
        <v>Qtr 2</v>
      </c>
      <c r="U7" s="8"/>
      <c r="V7" s="8"/>
    </row>
    <row r="8" spans="1:22" x14ac:dyDescent="0.3">
      <c r="A8" s="4" t="s">
        <v>7</v>
      </c>
      <c r="B8" s="5">
        <v>9339</v>
      </c>
      <c r="C8" s="4" t="s">
        <v>5</v>
      </c>
      <c r="D8" s="4" t="s">
        <v>11</v>
      </c>
      <c r="F8" t="str">
        <v>Jones</v>
      </c>
      <c r="G8" s="2">
        <v>1390</v>
      </c>
      <c r="H8" t="str">
        <v>USA</v>
      </c>
      <c r="I8" t="str">
        <v>Qtr 3</v>
      </c>
      <c r="L8" s="8" t="str">
        <v>Smith</v>
      </c>
      <c r="M8" s="8">
        <v>9698</v>
      </c>
      <c r="N8" s="10" t="str">
        <v>USA</v>
      </c>
      <c r="O8" s="8" t="str">
        <v>Qtr 1</v>
      </c>
      <c r="P8" s="8"/>
      <c r="Q8" s="8" t="str">
        <v>Smith</v>
      </c>
      <c r="R8" s="8">
        <v>16753</v>
      </c>
      <c r="S8" s="8" t="str">
        <v>UK</v>
      </c>
      <c r="T8" s="10" t="str">
        <v>Qtr 3</v>
      </c>
      <c r="U8" s="8"/>
      <c r="V8" s="8"/>
    </row>
    <row r="9" spans="1:22" x14ac:dyDescent="0.3">
      <c r="A9" s="4" t="s">
        <v>4</v>
      </c>
      <c r="B9" s="5">
        <v>18919</v>
      </c>
      <c r="C9" s="4" t="s">
        <v>8</v>
      </c>
      <c r="D9" s="4" t="s">
        <v>6</v>
      </c>
      <c r="F9" t="str">
        <v>Smith</v>
      </c>
      <c r="G9" s="2">
        <v>18919</v>
      </c>
      <c r="H9" t="str">
        <v>USA</v>
      </c>
      <c r="I9" t="str">
        <v>Qtr 3</v>
      </c>
      <c r="L9" s="8" t="str">
        <v>Williams</v>
      </c>
      <c r="M9" s="8">
        <v>10644</v>
      </c>
      <c r="N9" s="10" t="str">
        <v>UK</v>
      </c>
      <c r="O9" s="8" t="str">
        <v>Qtr 2</v>
      </c>
      <c r="P9" s="8"/>
      <c r="Q9" s="8" t="str">
        <v>Jones</v>
      </c>
      <c r="R9" s="8">
        <v>1390</v>
      </c>
      <c r="S9" s="8" t="str">
        <v>USA</v>
      </c>
      <c r="T9" s="10" t="str">
        <v>Qtr 3</v>
      </c>
      <c r="U9" s="8"/>
      <c r="V9" s="8"/>
    </row>
    <row r="10" spans="1:22" x14ac:dyDescent="0.3">
      <c r="A10" s="4" t="s">
        <v>12</v>
      </c>
      <c r="B10" s="5">
        <v>9213</v>
      </c>
      <c r="C10" s="4" t="s">
        <v>8</v>
      </c>
      <c r="D10" s="4" t="s">
        <v>9</v>
      </c>
      <c r="F10" t="str">
        <v>Smith</v>
      </c>
      <c r="G10" s="2">
        <v>16753</v>
      </c>
      <c r="H10" t="str">
        <v>UK</v>
      </c>
      <c r="I10" t="str">
        <v>Qtr 3</v>
      </c>
      <c r="L10" s="8" t="str">
        <v>Williams</v>
      </c>
      <c r="M10" s="8">
        <v>12438</v>
      </c>
      <c r="N10" s="10" t="str">
        <v>UK</v>
      </c>
      <c r="O10" s="8" t="str">
        <v>Qtr 1</v>
      </c>
      <c r="P10" s="8"/>
      <c r="Q10" s="8" t="str">
        <v>Smith</v>
      </c>
      <c r="R10" s="8">
        <v>18919</v>
      </c>
      <c r="S10" s="8" t="str">
        <v>USA</v>
      </c>
      <c r="T10" s="10" t="str">
        <v>Qtr 3</v>
      </c>
      <c r="U10" s="8"/>
      <c r="V10" s="8"/>
    </row>
    <row r="11" spans="1:22" x14ac:dyDescent="0.3">
      <c r="A11" s="4" t="s">
        <v>12</v>
      </c>
      <c r="B11" s="5">
        <v>7433</v>
      </c>
      <c r="C11" s="4" t="s">
        <v>5</v>
      </c>
      <c r="D11" s="4" t="s">
        <v>14</v>
      </c>
      <c r="F11" t="str">
        <v>Smith</v>
      </c>
      <c r="G11" s="2">
        <v>9698</v>
      </c>
      <c r="H11" t="str">
        <v>USA</v>
      </c>
      <c r="I11" t="str">
        <v>Qtr 1</v>
      </c>
      <c r="L11" s="8" t="str">
        <v>Johnson</v>
      </c>
      <c r="M11" s="8">
        <v>14808</v>
      </c>
      <c r="N11" s="10" t="str">
        <v>USA</v>
      </c>
      <c r="O11" s="8" t="str">
        <v>Qtr 4</v>
      </c>
      <c r="P11" s="8"/>
      <c r="Q11" s="8" t="str">
        <v>Williams</v>
      </c>
      <c r="R11" s="8">
        <v>14867</v>
      </c>
      <c r="S11" s="8" t="str">
        <v>USA</v>
      </c>
      <c r="T11" s="10" t="str">
        <v>Qtr 3</v>
      </c>
      <c r="U11" s="8"/>
      <c r="V11" s="8"/>
    </row>
    <row r="12" spans="1:22" x14ac:dyDescent="0.3">
      <c r="A12" s="4" t="s">
        <v>13</v>
      </c>
      <c r="B12" s="5">
        <v>3255</v>
      </c>
      <c r="C12" s="4" t="s">
        <v>8</v>
      </c>
      <c r="D12" s="4" t="s">
        <v>11</v>
      </c>
      <c r="F12" t="str">
        <v>Williams</v>
      </c>
      <c r="G12" s="2">
        <v>19302</v>
      </c>
      <c r="H12" t="str">
        <v>UK</v>
      </c>
      <c r="I12" t="str">
        <v>Qtr 4</v>
      </c>
      <c r="L12" s="8" t="str">
        <v>Williams</v>
      </c>
      <c r="M12" s="8">
        <v>14867</v>
      </c>
      <c r="N12" s="10" t="str">
        <v>USA</v>
      </c>
      <c r="O12" s="8" t="str">
        <v>Qtr 3</v>
      </c>
      <c r="P12" s="8"/>
      <c r="Q12" s="8" t="str">
        <v>Johnson</v>
      </c>
      <c r="R12" s="8">
        <v>14808</v>
      </c>
      <c r="S12" s="8" t="str">
        <v>USA</v>
      </c>
      <c r="T12" s="10" t="str">
        <v>Qtr 4</v>
      </c>
      <c r="U12" s="8"/>
      <c r="V12" s="8"/>
    </row>
    <row r="13" spans="1:22" x14ac:dyDescent="0.3">
      <c r="A13" s="4" t="s">
        <v>10</v>
      </c>
      <c r="B13" s="5">
        <v>14867</v>
      </c>
      <c r="C13" s="4" t="s">
        <v>8</v>
      </c>
      <c r="D13" s="4" t="s">
        <v>6</v>
      </c>
      <c r="F13" t="str">
        <v>Williams</v>
      </c>
      <c r="G13" s="2">
        <v>14867</v>
      </c>
      <c r="H13" t="str">
        <v>USA</v>
      </c>
      <c r="I13" t="str">
        <v>Qtr 3</v>
      </c>
      <c r="L13" s="8" t="str">
        <v>Smith</v>
      </c>
      <c r="M13" s="8">
        <v>16753</v>
      </c>
      <c r="N13" s="10" t="str">
        <v>UK</v>
      </c>
      <c r="O13" s="8" t="str">
        <v>Qtr 3</v>
      </c>
      <c r="P13" s="8"/>
      <c r="Q13" s="8" t="str">
        <v>Brown</v>
      </c>
      <c r="R13" s="8">
        <v>4865</v>
      </c>
      <c r="S13" s="8" t="str">
        <v>USA</v>
      </c>
      <c r="T13" s="10" t="str">
        <v>Qtr 4</v>
      </c>
      <c r="U13" s="8"/>
      <c r="V13" s="8"/>
    </row>
    <row r="14" spans="1:22" x14ac:dyDescent="0.3">
      <c r="A14" s="4" t="s">
        <v>10</v>
      </c>
      <c r="B14" s="5">
        <v>19302</v>
      </c>
      <c r="C14" s="4" t="s">
        <v>5</v>
      </c>
      <c r="D14" s="4" t="s">
        <v>9</v>
      </c>
      <c r="F14" t="str">
        <v>Williams</v>
      </c>
      <c r="G14" s="2">
        <v>12438</v>
      </c>
      <c r="H14" t="str">
        <v>UK</v>
      </c>
      <c r="I14" t="str">
        <v>Qtr 1</v>
      </c>
      <c r="L14" s="8" t="str">
        <v>Smith</v>
      </c>
      <c r="M14" s="8">
        <v>18919</v>
      </c>
      <c r="N14" s="10" t="str">
        <v>USA</v>
      </c>
      <c r="O14" s="8" t="str">
        <v>Qtr 3</v>
      </c>
      <c r="P14" s="8"/>
      <c r="Q14" s="8" t="str">
        <v>Jones</v>
      </c>
      <c r="R14" s="8">
        <v>9213</v>
      </c>
      <c r="S14" s="8" t="str">
        <v>USA</v>
      </c>
      <c r="T14" s="10" t="str">
        <v>Qtr 4</v>
      </c>
      <c r="U14" s="8"/>
      <c r="V14" s="8"/>
    </row>
    <row r="15" spans="1:22" x14ac:dyDescent="0.3">
      <c r="A15" s="4" t="s">
        <v>4</v>
      </c>
      <c r="B15" s="5">
        <v>9698</v>
      </c>
      <c r="C15" s="4" t="s">
        <v>8</v>
      </c>
      <c r="D15" s="4" t="s">
        <v>14</v>
      </c>
      <c r="F15" t="str">
        <v>Williams</v>
      </c>
      <c r="G15" s="2">
        <v>10644</v>
      </c>
      <c r="H15" t="str">
        <v>UK</v>
      </c>
      <c r="I15" t="str">
        <v>Qtr 2</v>
      </c>
      <c r="L15" s="8" t="str">
        <v>Williams</v>
      </c>
      <c r="M15" s="8">
        <v>19302</v>
      </c>
      <c r="N15" s="10" t="str">
        <v>UK</v>
      </c>
      <c r="O15" s="8" t="str">
        <v>Qtr 4</v>
      </c>
      <c r="P15" s="8"/>
      <c r="Q15" s="8" t="str">
        <v>Williams</v>
      </c>
      <c r="R15" s="8">
        <v>19302</v>
      </c>
      <c r="S15" s="8" t="str">
        <v>UK</v>
      </c>
      <c r="T15" s="10" t="str">
        <v>Qtr 4</v>
      </c>
      <c r="U15" s="8"/>
      <c r="V15" s="8"/>
    </row>
    <row r="16" spans="1:22" x14ac:dyDescent="0.3">
      <c r="B16" s="2"/>
      <c r="L16" s="8"/>
      <c r="M16" s="8"/>
      <c r="N16" s="10"/>
      <c r="O16" s="8"/>
      <c r="P16" s="8"/>
      <c r="Q16" s="8"/>
      <c r="R16" s="8"/>
      <c r="S16" s="8"/>
      <c r="T16" s="10"/>
      <c r="U16" s="8"/>
      <c r="V16" s="8"/>
    </row>
    <row r="17" spans="1:22" x14ac:dyDescent="0.3">
      <c r="B17" s="2"/>
      <c r="L17" s="8"/>
      <c r="M17" s="8"/>
      <c r="N17" s="10"/>
      <c r="O17" s="8"/>
      <c r="P17" s="8"/>
      <c r="Q17" s="8"/>
      <c r="R17" s="8"/>
      <c r="S17" s="8"/>
      <c r="T17" s="10"/>
      <c r="U17" s="8"/>
      <c r="V17" s="8"/>
    </row>
    <row r="18" spans="1:22" x14ac:dyDescent="0.3">
      <c r="B18" s="2"/>
    </row>
    <row r="19" spans="1:22" x14ac:dyDescent="0.3">
      <c r="B19" s="2"/>
    </row>
    <row r="20" spans="1:22" x14ac:dyDescent="0.3">
      <c r="A20" s="3" t="s">
        <v>0</v>
      </c>
      <c r="B20" s="3" t="s">
        <v>1</v>
      </c>
      <c r="C20" s="3" t="s">
        <v>2</v>
      </c>
      <c r="D20" s="3" t="s">
        <v>3</v>
      </c>
      <c r="F20" s="6" t="s">
        <v>23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2" x14ac:dyDescent="0.3">
      <c r="A21" s="4" t="s">
        <v>4</v>
      </c>
      <c r="B21" s="5">
        <v>16753</v>
      </c>
      <c r="C21" s="4" t="s">
        <v>5</v>
      </c>
      <c r="D21" s="4" t="s">
        <v>6</v>
      </c>
      <c r="F21" s="7" t="str" cm="1">
        <f t="array" ref="F21:F34">_xlfn._xlws.SORT(A21:A34)</f>
        <v>Brown</v>
      </c>
      <c r="G21" s="7" t="str" cm="1">
        <f t="array" ref="G21:J34">_xlfn._xlws.SORT(A21:D34)</f>
        <v>Brown</v>
      </c>
      <c r="H21">
        <v>4865</v>
      </c>
      <c r="I21" t="str">
        <v>USA</v>
      </c>
      <c r="J21" t="str">
        <v>Qtr 4</v>
      </c>
      <c r="L21" s="7" t="str" cm="1">
        <f t="array" ref="L21:O34">_xlfn._xlws.SORT(A21:D34,2)</f>
        <v>Jones</v>
      </c>
      <c r="M21">
        <v>1390</v>
      </c>
      <c r="N21" t="str">
        <v>USA</v>
      </c>
      <c r="O21" t="str">
        <v>Qtr 3</v>
      </c>
      <c r="Q21" s="7" t="str" cm="1">
        <f t="array" ref="Q21:T34">_xlfn._xlws.SORT(A21:D34,,-1)</f>
        <v>Williams</v>
      </c>
      <c r="R21">
        <v>10644</v>
      </c>
      <c r="S21" t="str">
        <v>UK</v>
      </c>
      <c r="T21" t="str">
        <v>Qtr 2</v>
      </c>
    </row>
    <row r="22" spans="1:22" x14ac:dyDescent="0.3">
      <c r="A22" s="4" t="s">
        <v>7</v>
      </c>
      <c r="B22" s="5">
        <v>14808</v>
      </c>
      <c r="C22" s="4" t="s">
        <v>8</v>
      </c>
      <c r="D22" s="4" t="s">
        <v>9</v>
      </c>
      <c r="F22" t="str">
        <v>Brown</v>
      </c>
      <c r="G22" t="str">
        <v>Brown</v>
      </c>
      <c r="H22">
        <v>3255</v>
      </c>
      <c r="I22" t="str">
        <v>USA</v>
      </c>
      <c r="J22" t="str">
        <v>Qtr 2</v>
      </c>
      <c r="L22" t="str">
        <v>Brown</v>
      </c>
      <c r="M22">
        <v>3255</v>
      </c>
      <c r="N22" t="str">
        <v>USA</v>
      </c>
      <c r="O22" t="str">
        <v>Qtr 2</v>
      </c>
      <c r="Q22" t="str">
        <v>Williams</v>
      </c>
      <c r="R22">
        <v>12438</v>
      </c>
      <c r="S22" t="str">
        <v>UK</v>
      </c>
      <c r="T22" t="str">
        <v>Qtr 1</v>
      </c>
    </row>
    <row r="23" spans="1:22" x14ac:dyDescent="0.3">
      <c r="A23" s="4" t="s">
        <v>10</v>
      </c>
      <c r="B23" s="5">
        <v>10644</v>
      </c>
      <c r="C23" s="4" t="s">
        <v>5</v>
      </c>
      <c r="D23" s="4" t="s">
        <v>11</v>
      </c>
      <c r="F23" t="str">
        <v>Johnson</v>
      </c>
      <c r="G23" t="str">
        <v>Johnson</v>
      </c>
      <c r="H23">
        <v>14808</v>
      </c>
      <c r="I23" t="str">
        <v>USA</v>
      </c>
      <c r="J23" t="str">
        <v>Qtr 4</v>
      </c>
      <c r="L23" t="str">
        <v>Brown</v>
      </c>
      <c r="M23">
        <v>4865</v>
      </c>
      <c r="N23" t="str">
        <v>USA</v>
      </c>
      <c r="O23" t="str">
        <v>Qtr 4</v>
      </c>
      <c r="Q23" t="str">
        <v>Williams</v>
      </c>
      <c r="R23">
        <v>14867</v>
      </c>
      <c r="S23" t="str">
        <v>USA</v>
      </c>
      <c r="T23" t="str">
        <v>Qtr 3</v>
      </c>
    </row>
    <row r="24" spans="1:22" x14ac:dyDescent="0.3">
      <c r="A24" s="4" t="s">
        <v>12</v>
      </c>
      <c r="B24" s="5">
        <v>1390</v>
      </c>
      <c r="C24" s="4" t="s">
        <v>8</v>
      </c>
      <c r="D24" s="4" t="s">
        <v>6</v>
      </c>
      <c r="F24" t="str">
        <v>Johnson</v>
      </c>
      <c r="G24" t="str">
        <v>Johnson</v>
      </c>
      <c r="H24">
        <v>9339</v>
      </c>
      <c r="I24" t="str">
        <v>UK</v>
      </c>
      <c r="J24" t="str">
        <v>Qtr 2</v>
      </c>
      <c r="L24" t="str">
        <v>Jones</v>
      </c>
      <c r="M24">
        <v>7433</v>
      </c>
      <c r="N24" t="str">
        <v>UK</v>
      </c>
      <c r="O24" t="str">
        <v>Qtr 1</v>
      </c>
      <c r="Q24" t="str">
        <v>Williams</v>
      </c>
      <c r="R24">
        <v>19302</v>
      </c>
      <c r="S24" t="str">
        <v>UK</v>
      </c>
      <c r="T24" t="str">
        <v>Qtr 4</v>
      </c>
    </row>
    <row r="25" spans="1:22" x14ac:dyDescent="0.3">
      <c r="A25" s="4" t="s">
        <v>13</v>
      </c>
      <c r="B25" s="5">
        <v>4865</v>
      </c>
      <c r="C25" s="4" t="s">
        <v>8</v>
      </c>
      <c r="D25" s="4" t="s">
        <v>9</v>
      </c>
      <c r="F25" t="str">
        <v>Jones</v>
      </c>
      <c r="G25" t="str">
        <v>Jones</v>
      </c>
      <c r="H25">
        <v>1390</v>
      </c>
      <c r="I25" t="str">
        <v>USA</v>
      </c>
      <c r="J25" t="str">
        <v>Qtr 3</v>
      </c>
      <c r="L25" t="str">
        <v>Jones</v>
      </c>
      <c r="M25">
        <v>9213</v>
      </c>
      <c r="N25" t="str">
        <v>USA</v>
      </c>
      <c r="O25" t="str">
        <v>Qtr 4</v>
      </c>
      <c r="Q25" t="str">
        <v>Smith</v>
      </c>
      <c r="R25">
        <v>16753</v>
      </c>
      <c r="S25" t="str">
        <v>UK</v>
      </c>
      <c r="T25" t="str">
        <v>Qtr 3</v>
      </c>
    </row>
    <row r="26" spans="1:22" x14ac:dyDescent="0.3">
      <c r="A26" s="4" t="s">
        <v>10</v>
      </c>
      <c r="B26" s="5">
        <v>12438</v>
      </c>
      <c r="C26" s="4" t="s">
        <v>5</v>
      </c>
      <c r="D26" s="4" t="s">
        <v>14</v>
      </c>
      <c r="F26" t="str">
        <v>Jones</v>
      </c>
      <c r="G26" t="str">
        <v>Jones</v>
      </c>
      <c r="H26">
        <v>9213</v>
      </c>
      <c r="I26" t="str">
        <v>USA</v>
      </c>
      <c r="J26" t="str">
        <v>Qtr 4</v>
      </c>
      <c r="L26" t="str">
        <v>Johnson</v>
      </c>
      <c r="M26">
        <v>9339</v>
      </c>
      <c r="N26" t="str">
        <v>UK</v>
      </c>
      <c r="O26" t="str">
        <v>Qtr 2</v>
      </c>
      <c r="Q26" t="str">
        <v>Smith</v>
      </c>
      <c r="R26">
        <v>18919</v>
      </c>
      <c r="S26" t="str">
        <v>USA</v>
      </c>
      <c r="T26" t="str">
        <v>Qtr 3</v>
      </c>
    </row>
    <row r="27" spans="1:22" x14ac:dyDescent="0.3">
      <c r="A27" s="4" t="s">
        <v>7</v>
      </c>
      <c r="B27" s="5">
        <v>9339</v>
      </c>
      <c r="C27" s="4" t="s">
        <v>5</v>
      </c>
      <c r="D27" s="4" t="s">
        <v>11</v>
      </c>
      <c r="F27" t="str">
        <v>Jones</v>
      </c>
      <c r="G27" t="str">
        <v>Jones</v>
      </c>
      <c r="H27">
        <v>7433</v>
      </c>
      <c r="I27" t="str">
        <v>UK</v>
      </c>
      <c r="J27" t="str">
        <v>Qtr 1</v>
      </c>
      <c r="L27" t="str">
        <v>Smith</v>
      </c>
      <c r="M27">
        <v>9698</v>
      </c>
      <c r="N27" t="str">
        <v>USA</v>
      </c>
      <c r="O27" t="str">
        <v>Qtr 1</v>
      </c>
      <c r="Q27" t="str">
        <v>Smith</v>
      </c>
      <c r="R27">
        <v>9698</v>
      </c>
      <c r="S27" t="str">
        <v>USA</v>
      </c>
      <c r="T27" t="str">
        <v>Qtr 1</v>
      </c>
    </row>
    <row r="28" spans="1:22" x14ac:dyDescent="0.3">
      <c r="A28" s="4" t="s">
        <v>4</v>
      </c>
      <c r="B28" s="5">
        <v>18919</v>
      </c>
      <c r="C28" s="4" t="s">
        <v>8</v>
      </c>
      <c r="D28" s="4" t="s">
        <v>6</v>
      </c>
      <c r="F28" t="str">
        <v>Smith</v>
      </c>
      <c r="G28" t="str">
        <v>Smith</v>
      </c>
      <c r="H28">
        <v>16753</v>
      </c>
      <c r="I28" t="str">
        <v>UK</v>
      </c>
      <c r="J28" t="str">
        <v>Qtr 3</v>
      </c>
      <c r="L28" t="str">
        <v>Williams</v>
      </c>
      <c r="M28">
        <v>10644</v>
      </c>
      <c r="N28" t="str">
        <v>UK</v>
      </c>
      <c r="O28" t="str">
        <v>Qtr 2</v>
      </c>
      <c r="Q28" t="str">
        <v>Jones</v>
      </c>
      <c r="R28">
        <v>1390</v>
      </c>
      <c r="S28" t="str">
        <v>USA</v>
      </c>
      <c r="T28" t="str">
        <v>Qtr 3</v>
      </c>
    </row>
    <row r="29" spans="1:22" x14ac:dyDescent="0.3">
      <c r="A29" s="4" t="s">
        <v>12</v>
      </c>
      <c r="B29" s="5">
        <v>9213</v>
      </c>
      <c r="C29" s="4" t="s">
        <v>8</v>
      </c>
      <c r="D29" s="4" t="s">
        <v>9</v>
      </c>
      <c r="F29" t="str">
        <v>Smith</v>
      </c>
      <c r="G29" t="str">
        <v>Smith</v>
      </c>
      <c r="H29">
        <v>18919</v>
      </c>
      <c r="I29" t="str">
        <v>USA</v>
      </c>
      <c r="J29" t="str">
        <v>Qtr 3</v>
      </c>
      <c r="L29" t="str">
        <v>Williams</v>
      </c>
      <c r="M29">
        <v>12438</v>
      </c>
      <c r="N29" t="str">
        <v>UK</v>
      </c>
      <c r="O29" t="str">
        <v>Qtr 1</v>
      </c>
      <c r="Q29" t="str">
        <v>Jones</v>
      </c>
      <c r="R29">
        <v>9213</v>
      </c>
      <c r="S29" t="str">
        <v>USA</v>
      </c>
      <c r="T29" t="str">
        <v>Qtr 4</v>
      </c>
    </row>
    <row r="30" spans="1:22" x14ac:dyDescent="0.3">
      <c r="A30" s="4" t="s">
        <v>12</v>
      </c>
      <c r="B30" s="5">
        <v>7433</v>
      </c>
      <c r="C30" s="4" t="s">
        <v>5</v>
      </c>
      <c r="D30" s="4" t="s">
        <v>14</v>
      </c>
      <c r="F30" t="str">
        <v>Smith</v>
      </c>
      <c r="G30" t="str">
        <v>Smith</v>
      </c>
      <c r="H30">
        <v>9698</v>
      </c>
      <c r="I30" t="str">
        <v>USA</v>
      </c>
      <c r="J30" t="str">
        <v>Qtr 1</v>
      </c>
      <c r="L30" t="str">
        <v>Johnson</v>
      </c>
      <c r="M30">
        <v>14808</v>
      </c>
      <c r="N30" t="str">
        <v>USA</v>
      </c>
      <c r="O30" t="str">
        <v>Qtr 4</v>
      </c>
      <c r="Q30" t="str">
        <v>Jones</v>
      </c>
      <c r="R30">
        <v>7433</v>
      </c>
      <c r="S30" t="str">
        <v>UK</v>
      </c>
      <c r="T30" t="str">
        <v>Qtr 1</v>
      </c>
    </row>
    <row r="31" spans="1:22" x14ac:dyDescent="0.3">
      <c r="A31" s="4" t="s">
        <v>13</v>
      </c>
      <c r="B31" s="5">
        <v>3255</v>
      </c>
      <c r="C31" s="4" t="s">
        <v>8</v>
      </c>
      <c r="D31" s="4" t="s">
        <v>11</v>
      </c>
      <c r="F31" t="str">
        <v>Williams</v>
      </c>
      <c r="G31" t="str">
        <v>Williams</v>
      </c>
      <c r="H31">
        <v>10644</v>
      </c>
      <c r="I31" t="str">
        <v>UK</v>
      </c>
      <c r="J31" t="str">
        <v>Qtr 2</v>
      </c>
      <c r="L31" t="str">
        <v>Williams</v>
      </c>
      <c r="M31">
        <v>14867</v>
      </c>
      <c r="N31" t="str">
        <v>USA</v>
      </c>
      <c r="O31" t="str">
        <v>Qtr 3</v>
      </c>
      <c r="Q31" t="str">
        <v>Johnson</v>
      </c>
      <c r="R31">
        <v>14808</v>
      </c>
      <c r="S31" t="str">
        <v>USA</v>
      </c>
      <c r="T31" t="str">
        <v>Qtr 4</v>
      </c>
    </row>
    <row r="32" spans="1:22" x14ac:dyDescent="0.3">
      <c r="A32" s="4" t="s">
        <v>10</v>
      </c>
      <c r="B32" s="5">
        <v>14867</v>
      </c>
      <c r="C32" s="4" t="s">
        <v>8</v>
      </c>
      <c r="D32" s="4" t="s">
        <v>6</v>
      </c>
      <c r="F32" t="str">
        <v>Williams</v>
      </c>
      <c r="G32" t="str">
        <v>Williams</v>
      </c>
      <c r="H32">
        <v>12438</v>
      </c>
      <c r="I32" t="str">
        <v>UK</v>
      </c>
      <c r="J32" t="str">
        <v>Qtr 1</v>
      </c>
      <c r="L32" t="str">
        <v>Smith</v>
      </c>
      <c r="M32">
        <v>16753</v>
      </c>
      <c r="N32" t="str">
        <v>UK</v>
      </c>
      <c r="O32" t="str">
        <v>Qtr 3</v>
      </c>
      <c r="Q32" t="str">
        <v>Johnson</v>
      </c>
      <c r="R32">
        <v>9339</v>
      </c>
      <c r="S32" t="str">
        <v>UK</v>
      </c>
      <c r="T32" t="str">
        <v>Qtr 2</v>
      </c>
    </row>
    <row r="33" spans="1:22" x14ac:dyDescent="0.3">
      <c r="A33" s="4" t="s">
        <v>10</v>
      </c>
      <c r="B33" s="5">
        <v>19302</v>
      </c>
      <c r="C33" s="4" t="s">
        <v>5</v>
      </c>
      <c r="D33" s="4" t="s">
        <v>9</v>
      </c>
      <c r="F33" t="str">
        <v>Williams</v>
      </c>
      <c r="G33" t="str">
        <v>Williams</v>
      </c>
      <c r="H33">
        <v>14867</v>
      </c>
      <c r="I33" t="str">
        <v>USA</v>
      </c>
      <c r="J33" t="str">
        <v>Qtr 3</v>
      </c>
      <c r="L33" t="str">
        <v>Smith</v>
      </c>
      <c r="M33">
        <v>18919</v>
      </c>
      <c r="N33" t="str">
        <v>USA</v>
      </c>
      <c r="O33" t="str">
        <v>Qtr 3</v>
      </c>
      <c r="Q33" t="str">
        <v>Brown</v>
      </c>
      <c r="R33">
        <v>4865</v>
      </c>
      <c r="S33" t="str">
        <v>USA</v>
      </c>
      <c r="T33" t="str">
        <v>Qtr 4</v>
      </c>
    </row>
    <row r="34" spans="1:22" x14ac:dyDescent="0.3">
      <c r="A34" s="4" t="s">
        <v>4</v>
      </c>
      <c r="B34" s="5">
        <v>9698</v>
      </c>
      <c r="C34" s="4" t="s">
        <v>8</v>
      </c>
      <c r="D34" s="4" t="s">
        <v>14</v>
      </c>
      <c r="F34" t="str">
        <v>Williams</v>
      </c>
      <c r="G34" t="str">
        <v>Williams</v>
      </c>
      <c r="H34">
        <v>19302</v>
      </c>
      <c r="I34" t="str">
        <v>UK</v>
      </c>
      <c r="J34" t="str">
        <v>Qtr 4</v>
      </c>
      <c r="L34" t="str">
        <v>Williams</v>
      </c>
      <c r="M34">
        <v>19302</v>
      </c>
      <c r="N34" t="str">
        <v>UK</v>
      </c>
      <c r="O34" t="str">
        <v>Qtr 4</v>
      </c>
      <c r="Q34" t="str">
        <v>Brown</v>
      </c>
      <c r="R34">
        <v>3255</v>
      </c>
      <c r="S34" t="str">
        <v>USA</v>
      </c>
      <c r="T34" t="str">
        <v>Qtr 2</v>
      </c>
    </row>
    <row r="35" spans="1:22" x14ac:dyDescent="0.3">
      <c r="B35" s="2"/>
    </row>
    <row r="36" spans="1:22" x14ac:dyDescent="0.3">
      <c r="B36" s="2"/>
    </row>
    <row r="37" spans="1:22" ht="15" x14ac:dyDescent="0.35">
      <c r="B37" s="2"/>
      <c r="L37" s="13" t="s">
        <v>24</v>
      </c>
      <c r="M37" s="13"/>
      <c r="N37" s="13"/>
      <c r="O37" s="13"/>
      <c r="P37" s="13"/>
      <c r="Q37" s="12"/>
      <c r="R37" s="13" t="s">
        <v>25</v>
      </c>
      <c r="S37" s="13"/>
      <c r="T37" s="13"/>
      <c r="U37" s="13"/>
      <c r="V37" s="13"/>
    </row>
    <row r="38" spans="1:22" x14ac:dyDescent="0.3">
      <c r="A38" s="7" t="str" cm="1">
        <f t="array" ref="A38:D51">_xlfn._xlws.SORT(A21:D34,{2,3})</f>
        <v>Jones</v>
      </c>
      <c r="B38" s="2">
        <v>1390</v>
      </c>
      <c r="C38" t="str">
        <v>USA</v>
      </c>
      <c r="D38" t="str">
        <v>Qtr 3</v>
      </c>
      <c r="F38" s="7" t="str" cm="1">
        <f t="array" ref="F38:I51">_xlfn._xlws.SORT(A21:D34,{4,3})</f>
        <v>Williams</v>
      </c>
      <c r="G38">
        <v>12438</v>
      </c>
      <c r="H38" t="str">
        <v>UK</v>
      </c>
      <c r="I38" t="str">
        <v>Qtr 1</v>
      </c>
    </row>
    <row r="39" spans="1:22" x14ac:dyDescent="0.3">
      <c r="A39" t="str">
        <v>Brown</v>
      </c>
      <c r="B39" s="2">
        <v>3255</v>
      </c>
      <c r="C39" t="str">
        <v>USA</v>
      </c>
      <c r="D39" t="str">
        <v>Qtr 2</v>
      </c>
      <c r="F39" t="str">
        <v>Jones</v>
      </c>
      <c r="G39">
        <v>7433</v>
      </c>
      <c r="H39" t="str">
        <v>UK</v>
      </c>
      <c r="I39" t="str">
        <v>Qtr 1</v>
      </c>
      <c r="L39" s="7" t="str" cm="1">
        <f t="array" ref="L39:O52">_xlfn._xlws.SORT(A21:D34,{1,2},{1,-1})</f>
        <v>Brown</v>
      </c>
      <c r="M39">
        <v>4865</v>
      </c>
      <c r="N39" t="str">
        <v>USA</v>
      </c>
      <c r="O39" t="str">
        <v>Qtr 4</v>
      </c>
      <c r="R39" s="3" t="s">
        <v>0</v>
      </c>
      <c r="S39" s="3" t="s">
        <v>1</v>
      </c>
      <c r="U39" s="7" t="str" cm="1">
        <f t="array" ref="U39:U52">_xlfn.SORTBY(R40:R53,S40:S53,-1)</f>
        <v>Williams</v>
      </c>
    </row>
    <row r="40" spans="1:22" x14ac:dyDescent="0.3">
      <c r="A40" t="str">
        <v>Brown</v>
      </c>
      <c r="B40" s="2">
        <v>4865</v>
      </c>
      <c r="C40" t="str">
        <v>USA</v>
      </c>
      <c r="D40" t="str">
        <v>Qtr 4</v>
      </c>
      <c r="F40" t="str">
        <v>Smith</v>
      </c>
      <c r="G40">
        <v>9698</v>
      </c>
      <c r="H40" t="str">
        <v>USA</v>
      </c>
      <c r="I40" t="str">
        <v>Qtr 1</v>
      </c>
      <c r="L40" t="str">
        <v>Brown</v>
      </c>
      <c r="M40">
        <v>3255</v>
      </c>
      <c r="N40" t="str">
        <v>USA</v>
      </c>
      <c r="O40" t="str">
        <v>Qtr 2</v>
      </c>
      <c r="R40" s="4" t="s">
        <v>4</v>
      </c>
      <c r="S40" s="5">
        <v>16753</v>
      </c>
      <c r="U40" t="str">
        <v>Smith</v>
      </c>
    </row>
    <row r="41" spans="1:22" x14ac:dyDescent="0.3">
      <c r="A41" t="str">
        <v>Jones</v>
      </c>
      <c r="B41" s="2">
        <v>7433</v>
      </c>
      <c r="C41" t="str">
        <v>UK</v>
      </c>
      <c r="D41" t="str">
        <v>Qtr 1</v>
      </c>
      <c r="F41" t="str">
        <v>Williams</v>
      </c>
      <c r="G41">
        <v>10644</v>
      </c>
      <c r="H41" t="str">
        <v>UK</v>
      </c>
      <c r="I41" t="str">
        <v>Qtr 2</v>
      </c>
      <c r="L41" t="str">
        <v>Johnson</v>
      </c>
      <c r="M41">
        <v>14808</v>
      </c>
      <c r="N41" t="str">
        <v>USA</v>
      </c>
      <c r="O41" t="str">
        <v>Qtr 4</v>
      </c>
      <c r="R41" s="4" t="s">
        <v>7</v>
      </c>
      <c r="S41" s="5">
        <v>14808</v>
      </c>
      <c r="U41" t="str">
        <v>Smith</v>
      </c>
    </row>
    <row r="42" spans="1:22" x14ac:dyDescent="0.3">
      <c r="A42" t="str">
        <v>Jones</v>
      </c>
      <c r="B42" s="2">
        <v>9213</v>
      </c>
      <c r="C42" t="str">
        <v>USA</v>
      </c>
      <c r="D42" t="str">
        <v>Qtr 4</v>
      </c>
      <c r="F42" t="str">
        <v>Johnson</v>
      </c>
      <c r="G42">
        <v>9339</v>
      </c>
      <c r="H42" t="str">
        <v>UK</v>
      </c>
      <c r="I42" t="str">
        <v>Qtr 2</v>
      </c>
      <c r="L42" t="str">
        <v>Johnson</v>
      </c>
      <c r="M42">
        <v>9339</v>
      </c>
      <c r="N42" t="str">
        <v>UK</v>
      </c>
      <c r="O42" t="str">
        <v>Qtr 2</v>
      </c>
      <c r="R42" s="4" t="s">
        <v>10</v>
      </c>
      <c r="S42" s="5">
        <v>10644</v>
      </c>
      <c r="U42" t="str">
        <v>Williams</v>
      </c>
    </row>
    <row r="43" spans="1:22" x14ac:dyDescent="0.3">
      <c r="A43" t="str">
        <v>Johnson</v>
      </c>
      <c r="B43" s="2">
        <v>9339</v>
      </c>
      <c r="C43" t="str">
        <v>UK</v>
      </c>
      <c r="D43" t="str">
        <v>Qtr 2</v>
      </c>
      <c r="F43" t="str">
        <v>Brown</v>
      </c>
      <c r="G43">
        <v>3255</v>
      </c>
      <c r="H43" t="str">
        <v>USA</v>
      </c>
      <c r="I43" t="str">
        <v>Qtr 2</v>
      </c>
      <c r="L43" t="str">
        <v>Jones</v>
      </c>
      <c r="M43">
        <v>9213</v>
      </c>
      <c r="N43" t="str">
        <v>USA</v>
      </c>
      <c r="O43" t="str">
        <v>Qtr 4</v>
      </c>
      <c r="R43" s="4" t="s">
        <v>12</v>
      </c>
      <c r="S43" s="5">
        <v>1390</v>
      </c>
      <c r="U43" t="str">
        <v>Johnson</v>
      </c>
    </row>
    <row r="44" spans="1:22" x14ac:dyDescent="0.3">
      <c r="A44" t="str">
        <v>Smith</v>
      </c>
      <c r="B44" s="2">
        <v>9698</v>
      </c>
      <c r="C44" t="str">
        <v>USA</v>
      </c>
      <c r="D44" t="str">
        <v>Qtr 1</v>
      </c>
      <c r="F44" t="str">
        <v>Smith</v>
      </c>
      <c r="G44">
        <v>16753</v>
      </c>
      <c r="H44" t="str">
        <v>UK</v>
      </c>
      <c r="I44" t="str">
        <v>Qtr 3</v>
      </c>
      <c r="L44" t="str">
        <v>Jones</v>
      </c>
      <c r="M44">
        <v>7433</v>
      </c>
      <c r="N44" t="str">
        <v>UK</v>
      </c>
      <c r="O44" t="str">
        <v>Qtr 1</v>
      </c>
      <c r="R44" s="4" t="s">
        <v>13</v>
      </c>
      <c r="S44" s="5">
        <v>4865</v>
      </c>
      <c r="U44" t="str">
        <v>Williams</v>
      </c>
    </row>
    <row r="45" spans="1:22" x14ac:dyDescent="0.3">
      <c r="A45" t="str">
        <v>Williams</v>
      </c>
      <c r="B45" s="2">
        <v>10644</v>
      </c>
      <c r="C45" t="str">
        <v>UK</v>
      </c>
      <c r="D45" t="str">
        <v>Qtr 2</v>
      </c>
      <c r="F45" t="str">
        <v>Jones</v>
      </c>
      <c r="G45">
        <v>1390</v>
      </c>
      <c r="H45" t="str">
        <v>USA</v>
      </c>
      <c r="I45" t="str">
        <v>Qtr 3</v>
      </c>
      <c r="L45" t="str">
        <v>Jones</v>
      </c>
      <c r="M45">
        <v>1390</v>
      </c>
      <c r="N45" t="str">
        <v>USA</v>
      </c>
      <c r="O45" t="str">
        <v>Qtr 3</v>
      </c>
      <c r="R45" s="4" t="s">
        <v>10</v>
      </c>
      <c r="S45" s="5">
        <v>12438</v>
      </c>
      <c r="U45" t="str">
        <v>Williams</v>
      </c>
    </row>
    <row r="46" spans="1:22" x14ac:dyDescent="0.3">
      <c r="A46" t="str">
        <v>Williams</v>
      </c>
      <c r="B46" s="2">
        <v>12438</v>
      </c>
      <c r="C46" t="str">
        <v>UK</v>
      </c>
      <c r="D46" t="str">
        <v>Qtr 1</v>
      </c>
      <c r="F46" t="str">
        <v>Smith</v>
      </c>
      <c r="G46">
        <v>18919</v>
      </c>
      <c r="H46" t="str">
        <v>USA</v>
      </c>
      <c r="I46" t="str">
        <v>Qtr 3</v>
      </c>
      <c r="L46" t="str">
        <v>Smith</v>
      </c>
      <c r="M46">
        <v>18919</v>
      </c>
      <c r="N46" t="str">
        <v>USA</v>
      </c>
      <c r="O46" t="str">
        <v>Qtr 3</v>
      </c>
      <c r="R46" s="4" t="s">
        <v>7</v>
      </c>
      <c r="S46" s="5">
        <v>9339</v>
      </c>
      <c r="U46" t="str">
        <v>Smith</v>
      </c>
    </row>
    <row r="47" spans="1:22" x14ac:dyDescent="0.3">
      <c r="A47" t="str">
        <v>Johnson</v>
      </c>
      <c r="B47" s="2">
        <v>14808</v>
      </c>
      <c r="C47" t="str">
        <v>USA</v>
      </c>
      <c r="D47" t="str">
        <v>Qtr 4</v>
      </c>
      <c r="F47" t="str">
        <v>Williams</v>
      </c>
      <c r="G47">
        <v>14867</v>
      </c>
      <c r="H47" t="str">
        <v>USA</v>
      </c>
      <c r="I47" t="str">
        <v>Qtr 3</v>
      </c>
      <c r="L47" t="str">
        <v>Smith</v>
      </c>
      <c r="M47">
        <v>16753</v>
      </c>
      <c r="N47" t="str">
        <v>UK</v>
      </c>
      <c r="O47" t="str">
        <v>Qtr 3</v>
      </c>
      <c r="R47" s="4" t="s">
        <v>4</v>
      </c>
      <c r="S47" s="5">
        <v>18919</v>
      </c>
      <c r="U47" t="str">
        <v>Johnson</v>
      </c>
    </row>
    <row r="48" spans="1:22" x14ac:dyDescent="0.3">
      <c r="A48" t="str">
        <v>Williams</v>
      </c>
      <c r="B48" s="2">
        <v>14867</v>
      </c>
      <c r="C48" t="str">
        <v>USA</v>
      </c>
      <c r="D48" t="str">
        <v>Qtr 3</v>
      </c>
      <c r="F48" t="str">
        <v>Williams</v>
      </c>
      <c r="G48">
        <v>19302</v>
      </c>
      <c r="H48" t="str">
        <v>UK</v>
      </c>
      <c r="I48" t="str">
        <v>Qtr 4</v>
      </c>
      <c r="L48" t="str">
        <v>Smith</v>
      </c>
      <c r="M48">
        <v>9698</v>
      </c>
      <c r="N48" t="str">
        <v>USA</v>
      </c>
      <c r="O48" t="str">
        <v>Qtr 1</v>
      </c>
      <c r="R48" s="4" t="s">
        <v>12</v>
      </c>
      <c r="S48" s="5">
        <v>9213</v>
      </c>
      <c r="U48" t="str">
        <v>Jones</v>
      </c>
    </row>
    <row r="49" spans="1:21" x14ac:dyDescent="0.3">
      <c r="A49" t="str">
        <v>Smith</v>
      </c>
      <c r="B49" s="2">
        <v>16753</v>
      </c>
      <c r="C49" t="str">
        <v>UK</v>
      </c>
      <c r="D49" t="str">
        <v>Qtr 3</v>
      </c>
      <c r="F49" t="str">
        <v>Johnson</v>
      </c>
      <c r="G49">
        <v>14808</v>
      </c>
      <c r="H49" t="str">
        <v>USA</v>
      </c>
      <c r="I49" t="str">
        <v>Qtr 4</v>
      </c>
      <c r="L49" t="str">
        <v>Williams</v>
      </c>
      <c r="M49">
        <v>19302</v>
      </c>
      <c r="N49" t="str">
        <v>UK</v>
      </c>
      <c r="O49" t="str">
        <v>Qtr 4</v>
      </c>
      <c r="R49" s="4" t="s">
        <v>12</v>
      </c>
      <c r="S49" s="5">
        <v>7433</v>
      </c>
      <c r="U49" t="str">
        <v>Jones</v>
      </c>
    </row>
    <row r="50" spans="1:21" x14ac:dyDescent="0.3">
      <c r="A50" t="str">
        <v>Smith</v>
      </c>
      <c r="B50" s="2">
        <v>18919</v>
      </c>
      <c r="C50" t="str">
        <v>USA</v>
      </c>
      <c r="D50" t="str">
        <v>Qtr 3</v>
      </c>
      <c r="F50" t="str">
        <v>Brown</v>
      </c>
      <c r="G50">
        <v>4865</v>
      </c>
      <c r="H50" t="str">
        <v>USA</v>
      </c>
      <c r="I50" t="str">
        <v>Qtr 4</v>
      </c>
      <c r="L50" t="str">
        <v>Williams</v>
      </c>
      <c r="M50">
        <v>14867</v>
      </c>
      <c r="N50" t="str">
        <v>USA</v>
      </c>
      <c r="O50" t="str">
        <v>Qtr 3</v>
      </c>
      <c r="R50" s="4" t="s">
        <v>13</v>
      </c>
      <c r="S50" s="5">
        <v>3255</v>
      </c>
      <c r="U50" t="str">
        <v>Brown</v>
      </c>
    </row>
    <row r="51" spans="1:21" x14ac:dyDescent="0.3">
      <c r="A51" t="str">
        <v>Williams</v>
      </c>
      <c r="B51">
        <v>19302</v>
      </c>
      <c r="C51" t="str">
        <v>UK</v>
      </c>
      <c r="D51" t="str">
        <v>Qtr 4</v>
      </c>
      <c r="F51" t="str">
        <v>Jones</v>
      </c>
      <c r="G51">
        <v>9213</v>
      </c>
      <c r="H51" t="str">
        <v>USA</v>
      </c>
      <c r="I51" t="str">
        <v>Qtr 4</v>
      </c>
      <c r="L51" t="str">
        <v>Williams</v>
      </c>
      <c r="M51">
        <v>12438</v>
      </c>
      <c r="N51" t="str">
        <v>UK</v>
      </c>
      <c r="O51" t="str">
        <v>Qtr 1</v>
      </c>
      <c r="R51" s="4" t="s">
        <v>10</v>
      </c>
      <c r="S51" s="5">
        <v>14867</v>
      </c>
      <c r="U51" t="str">
        <v>Brown</v>
      </c>
    </row>
    <row r="52" spans="1:21" x14ac:dyDescent="0.3">
      <c r="L52" t="str">
        <v>Williams</v>
      </c>
      <c r="M52">
        <v>10644</v>
      </c>
      <c r="N52" t="str">
        <v>UK</v>
      </c>
      <c r="O52" t="str">
        <v>Qtr 2</v>
      </c>
      <c r="R52" s="4" t="s">
        <v>10</v>
      </c>
      <c r="S52" s="5">
        <v>19302</v>
      </c>
      <c r="U52" t="str">
        <v>Jones</v>
      </c>
    </row>
    <row r="53" spans="1:21" x14ac:dyDescent="0.3">
      <c r="R53" s="4" t="s">
        <v>4</v>
      </c>
      <c r="S53" s="5">
        <v>9698</v>
      </c>
    </row>
    <row r="55" spans="1:21" x14ac:dyDescent="0.3">
      <c r="R55" s="7" t="str" cm="1">
        <f t="array" ref="R55:U68">_xlfn.SORTBY(A21:D34,B21:B34,1)</f>
        <v>Jones</v>
      </c>
      <c r="S55">
        <v>1390</v>
      </c>
      <c r="T55" t="str">
        <v>USA</v>
      </c>
      <c r="U55" t="str">
        <v>Qtr 3</v>
      </c>
    </row>
    <row r="56" spans="1:21" x14ac:dyDescent="0.3">
      <c r="R56" t="str">
        <v>Brown</v>
      </c>
      <c r="S56">
        <v>3255</v>
      </c>
      <c r="T56" t="str">
        <v>USA</v>
      </c>
      <c r="U56" t="str">
        <v>Qtr 2</v>
      </c>
    </row>
    <row r="57" spans="1:21" x14ac:dyDescent="0.3">
      <c r="R57" t="str">
        <v>Brown</v>
      </c>
      <c r="S57">
        <v>4865</v>
      </c>
      <c r="T57" t="str">
        <v>USA</v>
      </c>
      <c r="U57" t="str">
        <v>Qtr 4</v>
      </c>
    </row>
    <row r="58" spans="1:21" x14ac:dyDescent="0.3">
      <c r="R58" t="str">
        <v>Jones</v>
      </c>
      <c r="S58">
        <v>7433</v>
      </c>
      <c r="T58" t="str">
        <v>UK</v>
      </c>
      <c r="U58" t="str">
        <v>Qtr 1</v>
      </c>
    </row>
    <row r="59" spans="1:21" x14ac:dyDescent="0.3">
      <c r="R59" t="str">
        <v>Jones</v>
      </c>
      <c r="S59">
        <v>9213</v>
      </c>
      <c r="T59" t="str">
        <v>USA</v>
      </c>
      <c r="U59" t="str">
        <v>Qtr 4</v>
      </c>
    </row>
    <row r="60" spans="1:21" x14ac:dyDescent="0.3">
      <c r="R60" t="str">
        <v>Johnson</v>
      </c>
      <c r="S60">
        <v>9339</v>
      </c>
      <c r="T60" t="str">
        <v>UK</v>
      </c>
      <c r="U60" t="str">
        <v>Qtr 2</v>
      </c>
    </row>
    <row r="61" spans="1:21" x14ac:dyDescent="0.3">
      <c r="R61" t="str">
        <v>Smith</v>
      </c>
      <c r="S61">
        <v>9698</v>
      </c>
      <c r="T61" t="str">
        <v>USA</v>
      </c>
      <c r="U61" t="str">
        <v>Qtr 1</v>
      </c>
    </row>
    <row r="62" spans="1:21" x14ac:dyDescent="0.3">
      <c r="R62" t="str">
        <v>Williams</v>
      </c>
      <c r="S62">
        <v>10644</v>
      </c>
      <c r="T62" t="str">
        <v>UK</v>
      </c>
      <c r="U62" t="str">
        <v>Qtr 2</v>
      </c>
    </row>
    <row r="63" spans="1:21" x14ac:dyDescent="0.3">
      <c r="R63" t="str">
        <v>Williams</v>
      </c>
      <c r="S63">
        <v>12438</v>
      </c>
      <c r="T63" t="str">
        <v>UK</v>
      </c>
      <c r="U63" t="str">
        <v>Qtr 1</v>
      </c>
    </row>
    <row r="64" spans="1:21" x14ac:dyDescent="0.3">
      <c r="R64" t="str">
        <v>Johnson</v>
      </c>
      <c r="S64">
        <v>14808</v>
      </c>
      <c r="T64" t="str">
        <v>USA</v>
      </c>
      <c r="U64" t="str">
        <v>Qtr 4</v>
      </c>
    </row>
    <row r="65" spans="18:21" x14ac:dyDescent="0.3">
      <c r="R65" t="str">
        <v>Williams</v>
      </c>
      <c r="S65">
        <v>14867</v>
      </c>
      <c r="T65" t="str">
        <v>USA</v>
      </c>
      <c r="U65" t="str">
        <v>Qtr 3</v>
      </c>
    </row>
    <row r="66" spans="18:21" x14ac:dyDescent="0.3">
      <c r="R66" t="str">
        <v>Smith</v>
      </c>
      <c r="S66">
        <v>16753</v>
      </c>
      <c r="T66" t="str">
        <v>UK</v>
      </c>
      <c r="U66" t="str">
        <v>Qtr 3</v>
      </c>
    </row>
    <row r="67" spans="18:21" x14ac:dyDescent="0.3">
      <c r="R67" t="str">
        <v>Smith</v>
      </c>
      <c r="S67">
        <v>18919</v>
      </c>
      <c r="T67" t="str">
        <v>USA</v>
      </c>
      <c r="U67" t="str">
        <v>Qtr 3</v>
      </c>
    </row>
    <row r="68" spans="18:21" x14ac:dyDescent="0.3">
      <c r="R68" t="str">
        <v>Williams</v>
      </c>
      <c r="S68">
        <v>19302</v>
      </c>
      <c r="T68" t="str">
        <v>UK</v>
      </c>
      <c r="U68" t="str">
        <v>Qtr 4</v>
      </c>
    </row>
  </sheetData>
  <mergeCells count="3">
    <mergeCell ref="F20:T20"/>
    <mergeCell ref="L37:P37"/>
    <mergeCell ref="R37:V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A7F4-87C3-4C64-92E8-B1EDF64ABB18}">
  <dimension ref="A1:D7"/>
  <sheetViews>
    <sheetView workbookViewId="0">
      <selection activeCell="D2" sqref="D2"/>
    </sheetView>
  </sheetViews>
  <sheetFormatPr defaultRowHeight="14.4" x14ac:dyDescent="0.3"/>
  <cols>
    <col min="1" max="1" width="9.33203125" customWidth="1"/>
  </cols>
  <sheetData>
    <row r="1" spans="1:4" x14ac:dyDescent="0.3">
      <c r="A1" s="1" t="s">
        <v>15</v>
      </c>
      <c r="B1" s="1" t="s">
        <v>16</v>
      </c>
    </row>
    <row r="2" spans="1:4" x14ac:dyDescent="0.3">
      <c r="A2" t="s">
        <v>22</v>
      </c>
      <c r="B2">
        <v>23</v>
      </c>
      <c r="D2" t="str" cm="1">
        <f t="array" ref="D2:D7">_xlfn.SORTBY(A2:A7,B2:B7,-1)</f>
        <v>Marilyn</v>
      </c>
    </row>
    <row r="3" spans="1:4" x14ac:dyDescent="0.3">
      <c r="A3" t="s">
        <v>18</v>
      </c>
      <c r="B3">
        <v>38</v>
      </c>
      <c r="D3" t="str">
        <v>Carol</v>
      </c>
    </row>
    <row r="4" spans="1:4" x14ac:dyDescent="0.3">
      <c r="A4" t="s">
        <v>19</v>
      </c>
      <c r="B4">
        <v>26</v>
      </c>
      <c r="D4" t="str">
        <v>Andrew</v>
      </c>
    </row>
    <row r="5" spans="1:4" x14ac:dyDescent="0.3">
      <c r="A5" t="s">
        <v>20</v>
      </c>
      <c r="B5">
        <v>61</v>
      </c>
      <c r="D5" t="str">
        <v>Justin</v>
      </c>
    </row>
    <row r="6" spans="1:4" x14ac:dyDescent="0.3">
      <c r="A6" t="s">
        <v>17</v>
      </c>
      <c r="B6">
        <v>75</v>
      </c>
      <c r="D6" t="str">
        <v>Gabriel</v>
      </c>
    </row>
    <row r="7" spans="1:4" x14ac:dyDescent="0.3">
      <c r="A7" t="s">
        <v>21</v>
      </c>
      <c r="B7">
        <v>44</v>
      </c>
      <c r="D7" t="str">
        <v>Rachel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SORTBY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2012-06-12T18:34:12Z</dcterms:created>
  <dcterms:modified xsi:type="dcterms:W3CDTF">2025-12-15T10:44:08Z</dcterms:modified>
</cp:coreProperties>
</file>