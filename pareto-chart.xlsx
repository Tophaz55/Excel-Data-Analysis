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amiksha\Desktop\# May study\github upload\upload done\easy excel\pending\"/>
    </mc:Choice>
  </mc:AlternateContent>
  <xr:revisionPtr revIDLastSave="0" documentId="13_ncr:1_{7B1766A3-0D1F-4E32-B0C1-EEE0AAD97779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Excel 2016 or later" sheetId="1" r:id="rId1"/>
    <sheet name="All Versions" sheetId="2" r:id="rId2"/>
  </sheets>
  <definedNames>
    <definedName name="_xlchart.v1.0" hidden="1">'Excel 2016 or later'!$A$4:$A$13</definedName>
    <definedName name="_xlchart.v1.1" hidden="1">'Excel 2016 or later'!$B$3</definedName>
    <definedName name="_xlchart.v1.10" hidden="1">'All Versions'!$C$19:$C$28</definedName>
    <definedName name="_xlchart.v1.11" hidden="1">'All Versions'!$D$18</definedName>
    <definedName name="_xlchart.v1.12" hidden="1">'All Versions'!$D$19:$D$28</definedName>
    <definedName name="_xlchart.v1.13" hidden="1">'All Versions'!$A$19:$A$28</definedName>
    <definedName name="_xlchart.v1.14" hidden="1">'All Versions'!$B$18</definedName>
    <definedName name="_xlchart.v1.15" hidden="1">'All Versions'!$B$19:$B$28</definedName>
    <definedName name="_xlchart.v1.16" hidden="1">'All Versions'!$C$18</definedName>
    <definedName name="_xlchart.v1.17" hidden="1">'All Versions'!$C$19:$C$28</definedName>
    <definedName name="_xlchart.v1.18" hidden="1">'All Versions'!$D$18</definedName>
    <definedName name="_xlchart.v1.19" hidden="1">'All Versions'!$D$19:$D$28</definedName>
    <definedName name="_xlchart.v1.2" hidden="1">'Excel 2016 or later'!$B$4:$B$13</definedName>
    <definedName name="_xlchart.v1.3" hidden="1">'Excel 2016 or later'!$A$4:$A$13</definedName>
    <definedName name="_xlchart.v1.4" hidden="1">'Excel 2016 or later'!$B$3</definedName>
    <definedName name="_xlchart.v1.5" hidden="1">'Excel 2016 or later'!$B$4:$B$13</definedName>
    <definedName name="_xlchart.v1.6" hidden="1">'All Versions'!$A$19:$A$28</definedName>
    <definedName name="_xlchart.v1.7" hidden="1">'All Versions'!$B$18</definedName>
    <definedName name="_xlchart.v1.8" hidden="1">'All Versions'!$B$19:$B$28</definedName>
    <definedName name="_xlchart.v1.9" hidden="1">'All Versions'!$C$18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0" i="2" l="1"/>
  <c r="D21" i="2"/>
  <c r="D22" i="2"/>
  <c r="D23" i="2"/>
  <c r="D24" i="2"/>
  <c r="D25" i="2"/>
  <c r="D26" i="2"/>
  <c r="D27" i="2"/>
  <c r="D28" i="2"/>
  <c r="D19" i="2"/>
  <c r="D4" i="2"/>
  <c r="C21" i="2"/>
  <c r="C22" i="2"/>
  <c r="C23" i="2" s="1"/>
  <c r="C24" i="2" s="1"/>
  <c r="C25" i="2" s="1"/>
  <c r="C26" i="2" s="1"/>
  <c r="C27" i="2" s="1"/>
  <c r="C28" i="2" s="1"/>
  <c r="C20" i="2"/>
  <c r="C4" i="2" l="1"/>
  <c r="C5" i="2" s="1"/>
  <c r="C6" i="2" l="1"/>
  <c r="C7" i="2" l="1"/>
  <c r="C8" i="2" l="1"/>
  <c r="C9" i="2" l="1"/>
  <c r="C10" i="2" l="1"/>
  <c r="C11" i="2" l="1"/>
  <c r="C12" i="2" l="1"/>
  <c r="C13" i="2" l="1"/>
  <c r="D12" i="2"/>
  <c r="D13" i="2" l="1"/>
  <c r="D5" i="2"/>
  <c r="D6" i="2"/>
  <c r="D7" i="2"/>
  <c r="D8" i="2"/>
  <c r="D9" i="2"/>
  <c r="D10" i="2"/>
  <c r="D11" i="2"/>
</calcChain>
</file>

<file path=xl/sharedStrings.xml><?xml version="1.0" encoding="utf-8"?>
<sst xmlns="http://schemas.openxmlformats.org/spreadsheetml/2006/main" count="42" uniqueCount="15">
  <si>
    <t>Count</t>
  </si>
  <si>
    <t>Restaurant Complaints</t>
  </si>
  <si>
    <t>Small portions</t>
  </si>
  <si>
    <t>Food not fresh</t>
  </si>
  <si>
    <t>Unfriendly staff</t>
  </si>
  <si>
    <t>Not clean</t>
  </si>
  <si>
    <t>Too noisy</t>
  </si>
  <si>
    <t>Overpriced</t>
  </si>
  <si>
    <t>Food is tasteless</t>
  </si>
  <si>
    <t>Food is too salty</t>
  </si>
  <si>
    <t>No atmosphere</t>
  </si>
  <si>
    <t>Wait time</t>
  </si>
  <si>
    <t>Complaint Type</t>
  </si>
  <si>
    <t>Cumulative %</t>
  </si>
  <si>
    <t>Cumulative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</si>
</sst>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'All Versions'!$B$3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'All Versions'!$A$4:$A$13</c:f>
              <c:strCache>
                <c:ptCount val="10"/>
                <c:pt idx="0">
                  <c:v>Overpriced</c:v>
                </c:pt>
                <c:pt idx="1">
                  <c:v>Small portions</c:v>
                </c:pt>
                <c:pt idx="2">
                  <c:v>Wait time</c:v>
                </c:pt>
                <c:pt idx="3">
                  <c:v>Food is tasteless</c:v>
                </c:pt>
                <c:pt idx="4">
                  <c:v>No atmosphere</c:v>
                </c:pt>
                <c:pt idx="5">
                  <c:v>Not clean</c:v>
                </c:pt>
                <c:pt idx="6">
                  <c:v>Too noisy</c:v>
                </c:pt>
                <c:pt idx="7">
                  <c:v>Food is too salty</c:v>
                </c:pt>
                <c:pt idx="8">
                  <c:v>Unfriendly staff</c:v>
                </c:pt>
                <c:pt idx="9">
                  <c:v>Food not fresh</c:v>
                </c:pt>
              </c:strCache>
            </c:strRef>
          </c:cat>
          <c:val>
            <c:numRef>
              <c:f>'All Versions'!$B$4:$B$13</c:f>
              <c:numCache>
                <c:formatCode>General</c:formatCode>
                <c:ptCount val="10"/>
                <c:pt idx="0">
                  <c:v>789</c:v>
                </c:pt>
                <c:pt idx="1">
                  <c:v>621</c:v>
                </c:pt>
                <c:pt idx="2">
                  <c:v>109</c:v>
                </c:pt>
                <c:pt idx="3">
                  <c:v>65</c:v>
                </c:pt>
                <c:pt idx="4">
                  <c:v>45</c:v>
                </c:pt>
                <c:pt idx="5">
                  <c:v>30</c:v>
                </c:pt>
                <c:pt idx="6">
                  <c:v>27</c:v>
                </c:pt>
                <c:pt idx="7">
                  <c:v>15</c:v>
                </c:pt>
                <c:pt idx="8">
                  <c:v>12</c:v>
                </c:pt>
                <c:pt idx="9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02-4665-A7A6-72F725A7AA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5023631"/>
        <c:axId val="748841615"/>
      </c:barChart>
      <c:lineChart>
        <c:grouping val="standard"/>
        <c:varyColors val="0"/>
        <c:ser>
          <c:idx val="1"/>
          <c:order val="1"/>
          <c:tx>
            <c:strRef>
              <c:f>'All Versions'!$D$3</c:f>
              <c:strCache>
                <c:ptCount val="1"/>
                <c:pt idx="0">
                  <c:v>Cumulative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'All Versions'!$A$4:$A$13</c:f>
              <c:strCache>
                <c:ptCount val="10"/>
                <c:pt idx="0">
                  <c:v>Overpriced</c:v>
                </c:pt>
                <c:pt idx="1">
                  <c:v>Small portions</c:v>
                </c:pt>
                <c:pt idx="2">
                  <c:v>Wait time</c:v>
                </c:pt>
                <c:pt idx="3">
                  <c:v>Food is tasteless</c:v>
                </c:pt>
                <c:pt idx="4">
                  <c:v>No atmosphere</c:v>
                </c:pt>
                <c:pt idx="5">
                  <c:v>Not clean</c:v>
                </c:pt>
                <c:pt idx="6">
                  <c:v>Too noisy</c:v>
                </c:pt>
                <c:pt idx="7">
                  <c:v>Food is too salty</c:v>
                </c:pt>
                <c:pt idx="8">
                  <c:v>Unfriendly staff</c:v>
                </c:pt>
                <c:pt idx="9">
                  <c:v>Food not fresh</c:v>
                </c:pt>
              </c:strCache>
            </c:strRef>
          </c:cat>
          <c:val>
            <c:numRef>
              <c:f>'All Versions'!$D$4:$D$13</c:f>
              <c:numCache>
                <c:formatCode>0.0</c:formatCode>
                <c:ptCount val="10"/>
                <c:pt idx="0">
                  <c:v>45.818815331010455</c:v>
                </c:pt>
                <c:pt idx="1">
                  <c:v>81.881533101045306</c:v>
                </c:pt>
                <c:pt idx="2">
                  <c:v>88.211382113821131</c:v>
                </c:pt>
                <c:pt idx="3">
                  <c:v>91.986062717770039</c:v>
                </c:pt>
                <c:pt idx="4">
                  <c:v>94.599303135888505</c:v>
                </c:pt>
                <c:pt idx="5">
                  <c:v>96.341463414634148</c:v>
                </c:pt>
                <c:pt idx="6">
                  <c:v>97.909407665505228</c:v>
                </c:pt>
                <c:pt idx="7">
                  <c:v>98.780487804878049</c:v>
                </c:pt>
                <c:pt idx="8">
                  <c:v>99.477351916376307</c:v>
                </c:pt>
                <c:pt idx="9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02-4665-A7A6-72F725A7AA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1178543"/>
        <c:axId val="853902975"/>
      </c:lineChart>
      <c:catAx>
        <c:axId val="855023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841615"/>
        <c:crosses val="autoZero"/>
        <c:auto val="1"/>
        <c:lblAlgn val="ctr"/>
        <c:lblOffset val="100"/>
        <c:noMultiLvlLbl val="0"/>
      </c:catAx>
      <c:valAx>
        <c:axId val="748841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023631"/>
        <c:crosses val="autoZero"/>
        <c:crossBetween val="between"/>
      </c:valAx>
      <c:valAx>
        <c:axId val="853902975"/>
        <c:scaling>
          <c:orientation val="minMax"/>
          <c:max val="100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178543"/>
        <c:crosses val="max"/>
        <c:crossBetween val="between"/>
      </c:valAx>
      <c:catAx>
        <c:axId val="86117854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5390297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Restaurant Complaints</cx:v>
        </cx:txData>
      </cx:tx>
      <cx:txPr>
        <a:bodyPr spcFirstLastPara="1" vertOverflow="ellipsis" wrap="square" lIns="0" tIns="0" rIns="0" bIns="0" anchor="ctr" anchorCtr="1"/>
        <a:lstStyle/>
        <a:p>
          <a:pPr algn="ctr">
            <a:defRPr/>
          </a:pPr>
          <a:r>
            <a:rPr lang="en-US"/>
            <a:t>Restaurant Complaints</a:t>
          </a:r>
        </a:p>
      </cx:txPr>
    </cx:title>
    <cx:plotArea>
      <cx:plotAreaRegion>
        <cx:series layoutId="clusteredColumn" uniqueId="{42806716-F10C-49C9-81E0-9A54F5B68E3B}">
          <cx:tx>
            <cx:txData>
              <cx:f>_xlchart.v1.1</cx:f>
              <cx:v>Count</cx:v>
            </cx:txData>
          </cx:tx>
          <cx:dataLabels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paretoLine" ownerIdx="0" uniqueId="{78A16FC0-27E0-475D-8FCF-C945DAFEF5BD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_xlchart.v1.13</cx:f>
      </cx:strDim>
      <cx:numDim type="val">
        <cx:f>_xlchart.v1.15</cx:f>
      </cx:numDim>
    </cx:data>
    <cx:data id="1">
      <cx:strDim type="cat">
        <cx:f>_xlchart.v1.13</cx:f>
      </cx:strDim>
      <cx:numDim type="val">
        <cx:f>_xlchart.v1.17</cx:f>
      </cx:numDim>
    </cx:data>
    <cx:data id="2">
      <cx:strDim type="cat">
        <cx:f>_xlchart.v1.13</cx:f>
      </cx:strDim>
      <cx:numDim type="val">
        <cx:f>_xlchart.v1.19</cx:f>
      </cx:numDim>
    </cx:data>
  </cx:chartData>
  <cx:chart>
    <cx:title pos="t" align="ctr" overlay="0"/>
    <cx:plotArea>
      <cx:plotAreaRegion>
        <cx:series layoutId="clusteredColumn" uniqueId="{6B69EB8A-ECA2-4159-9F64-F1FDBC30A2A5}" formatIdx="0">
          <cx:tx>
            <cx:txData>
              <cx:f>_xlchart.v1.14</cx:f>
              <cx:v>Count</cx:v>
            </cx:txData>
          </cx:tx>
          <cx:dataId val="0"/>
          <cx:layoutPr>
            <cx:aggregation/>
          </cx:layoutPr>
          <cx:axisId val="1"/>
        </cx:series>
        <cx:series layoutId="paretoLine" ownerIdx="0" uniqueId="{B718B870-5735-4C63-B850-659FE7A43359}" formatIdx="1">
          <cx:axisId val="2"/>
        </cx:series>
        <cx:series layoutId="clusteredColumn" hidden="1" uniqueId="{98E80AF1-6FA5-4242-B333-CE47963FC015}" formatIdx="2">
          <cx:tx>
            <cx:txData>
              <cx:f>_xlchart.v1.16</cx:f>
              <cx:v>Cumulative Count</cx:v>
            </cx:txData>
          </cx:tx>
          <cx:dataId val="1"/>
          <cx:layoutPr>
            <cx:aggregation/>
          </cx:layoutPr>
          <cx:axisId val="1"/>
        </cx:series>
        <cx:series layoutId="paretoLine" ownerIdx="2" uniqueId="{C3BDEEB3-93E9-4C39-A0E4-F2C26A530556}" formatIdx="3">
          <cx:axisId val="2"/>
        </cx:series>
        <cx:series layoutId="clusteredColumn" hidden="1" uniqueId="{34B7CE6F-F821-4CDD-8E64-7C1B0C14CEBD}" formatIdx="4">
          <cx:tx>
            <cx:txData>
              <cx:f>_xlchart.v1.18</cx:f>
              <cx:v>Cumulative %</cx:v>
            </cx:txData>
          </cx:tx>
          <cx:dataId val="2"/>
          <cx:layoutPr>
            <cx:aggregation/>
          </cx:layoutPr>
          <cx:axisId val="1"/>
        </cx:series>
        <cx:series layoutId="paretoLine" ownerIdx="4" uniqueId="{A3CA6A08-4262-47ED-BA1B-66C9AB4C912C}" formatIdx="5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171450</xdr:colOff>
      <xdr:row>0</xdr:row>
      <xdr:rowOff>123825</xdr:rowOff>
    </xdr:from>
    <xdr:to>
      <xdr:col>9</xdr:col>
      <xdr:colOff>476250</xdr:colOff>
      <xdr:row>14</xdr:row>
      <xdr:rowOff>95250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BAC6B116-AFA4-48C5-A22A-71D5FEB3EB9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87930" y="123825"/>
              <a:ext cx="4572000" cy="26536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161925</xdr:colOff>
      <xdr:row>0</xdr:row>
      <xdr:rowOff>114300</xdr:rowOff>
    </xdr:from>
    <xdr:to>
      <xdr:col>11</xdr:col>
      <xdr:colOff>457200</xdr:colOff>
      <xdr:row>14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08D05F-E4EA-4882-9730-BB924EEF74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182880</xdr:colOff>
      <xdr:row>15</xdr:row>
      <xdr:rowOff>87630</xdr:rowOff>
    </xdr:from>
    <xdr:to>
      <xdr:col>11</xdr:col>
      <xdr:colOff>457200</xdr:colOff>
      <xdr:row>30</xdr:row>
      <xdr:rowOff>87630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748CEEB-4CD5-DA9E-F61D-D22E0ED6B9F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02480" y="29527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activeCell="A22" sqref="A22"/>
    </sheetView>
  </sheetViews>
  <sheetFormatPr defaultRowHeight="14.4" x14ac:dyDescent="0.3"/>
  <cols>
    <col min="1" max="1" width="24.88671875" customWidth="1"/>
    <col min="2" max="2" width="8.88671875" customWidth="1"/>
  </cols>
  <sheetData>
    <row r="1" spans="1:2" ht="23.4" x14ac:dyDescent="0.45">
      <c r="A1" s="3" t="s">
        <v>1</v>
      </c>
      <c r="B1" s="3"/>
    </row>
    <row r="2" spans="1:2" x14ac:dyDescent="0.3">
      <c r="A2" s="1"/>
      <c r="B2" s="1"/>
    </row>
    <row r="3" spans="1:2" x14ac:dyDescent="0.3">
      <c r="A3" s="1" t="s">
        <v>12</v>
      </c>
      <c r="B3" s="1" t="s">
        <v>0</v>
      </c>
    </row>
    <row r="4" spans="1:2" x14ac:dyDescent="0.3">
      <c r="A4" t="s">
        <v>6</v>
      </c>
      <c r="B4">
        <v>27</v>
      </c>
    </row>
    <row r="5" spans="1:2" x14ac:dyDescent="0.3">
      <c r="A5" t="s">
        <v>7</v>
      </c>
      <c r="B5">
        <v>789</v>
      </c>
    </row>
    <row r="6" spans="1:2" x14ac:dyDescent="0.3">
      <c r="A6" t="s">
        <v>8</v>
      </c>
      <c r="B6">
        <v>65</v>
      </c>
    </row>
    <row r="7" spans="1:2" x14ac:dyDescent="0.3">
      <c r="A7" t="s">
        <v>3</v>
      </c>
      <c r="B7">
        <v>9</v>
      </c>
    </row>
    <row r="8" spans="1:2" x14ac:dyDescent="0.3">
      <c r="A8" t="s">
        <v>9</v>
      </c>
      <c r="B8">
        <v>15</v>
      </c>
    </row>
    <row r="9" spans="1:2" x14ac:dyDescent="0.3">
      <c r="A9" t="s">
        <v>5</v>
      </c>
      <c r="B9">
        <v>30</v>
      </c>
    </row>
    <row r="10" spans="1:2" x14ac:dyDescent="0.3">
      <c r="A10" t="s">
        <v>4</v>
      </c>
      <c r="B10">
        <v>12</v>
      </c>
    </row>
    <row r="11" spans="1:2" x14ac:dyDescent="0.3">
      <c r="A11" t="s">
        <v>11</v>
      </c>
      <c r="B11">
        <v>109</v>
      </c>
    </row>
    <row r="12" spans="1:2" ht="15" customHeight="1" x14ac:dyDescent="0.3">
      <c r="A12" t="s">
        <v>10</v>
      </c>
      <c r="B12">
        <v>45</v>
      </c>
    </row>
    <row r="13" spans="1:2" x14ac:dyDescent="0.3">
      <c r="A13" t="s">
        <v>2</v>
      </c>
      <c r="B13">
        <v>621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615B6-5A81-45F7-A849-861A18DB52EF}">
  <dimension ref="A1:D28"/>
  <sheetViews>
    <sheetView tabSelected="1" workbookViewId="0">
      <selection activeCell="N13" sqref="N13"/>
    </sheetView>
  </sheetViews>
  <sheetFormatPr defaultRowHeight="14.4" x14ac:dyDescent="0.3"/>
  <cols>
    <col min="1" max="1" width="24.88671875" customWidth="1"/>
    <col min="2" max="2" width="8.88671875" customWidth="1"/>
    <col min="3" max="3" width="17" bestFit="1" customWidth="1"/>
    <col min="4" max="4" width="13.6640625" bestFit="1" customWidth="1"/>
    <col min="5" max="5" width="9.33203125" customWidth="1"/>
  </cols>
  <sheetData>
    <row r="1" spans="1:4" ht="23.4" x14ac:dyDescent="0.45">
      <c r="A1" s="3" t="s">
        <v>1</v>
      </c>
      <c r="B1" s="3"/>
    </row>
    <row r="2" spans="1:4" x14ac:dyDescent="0.3">
      <c r="A2" s="1"/>
      <c r="B2" s="1"/>
      <c r="C2" s="1"/>
      <c r="D2" s="1"/>
    </row>
    <row r="3" spans="1:4" x14ac:dyDescent="0.3">
      <c r="A3" s="1" t="s">
        <v>12</v>
      </c>
      <c r="B3" s="1" t="s">
        <v>0</v>
      </c>
      <c r="C3" s="1" t="s">
        <v>14</v>
      </c>
      <c r="D3" s="1" t="s">
        <v>13</v>
      </c>
    </row>
    <row r="4" spans="1:4" x14ac:dyDescent="0.3">
      <c r="A4" t="s">
        <v>7</v>
      </c>
      <c r="B4">
        <v>789</v>
      </c>
      <c r="C4">
        <f>B4</f>
        <v>789</v>
      </c>
      <c r="D4" s="2">
        <f>(C4/$C$13)*100</f>
        <v>45.818815331010455</v>
      </c>
    </row>
    <row r="5" spans="1:4" x14ac:dyDescent="0.3">
      <c r="A5" t="s">
        <v>2</v>
      </c>
      <c r="B5">
        <v>621</v>
      </c>
      <c r="C5">
        <f>C4+B5</f>
        <v>1410</v>
      </c>
      <c r="D5" s="2">
        <f t="shared" ref="D5:D13" si="0">(C5/$C$13)*100</f>
        <v>81.881533101045306</v>
      </c>
    </row>
    <row r="6" spans="1:4" x14ac:dyDescent="0.3">
      <c r="A6" t="s">
        <v>11</v>
      </c>
      <c r="B6">
        <v>109</v>
      </c>
      <c r="C6">
        <f t="shared" ref="C6:C13" si="1">C5+B6</f>
        <v>1519</v>
      </c>
      <c r="D6" s="2">
        <f t="shared" si="0"/>
        <v>88.211382113821131</v>
      </c>
    </row>
    <row r="7" spans="1:4" x14ac:dyDescent="0.3">
      <c r="A7" t="s">
        <v>8</v>
      </c>
      <c r="B7">
        <v>65</v>
      </c>
      <c r="C7">
        <f t="shared" si="1"/>
        <v>1584</v>
      </c>
      <c r="D7" s="2">
        <f t="shared" si="0"/>
        <v>91.986062717770039</v>
      </c>
    </row>
    <row r="8" spans="1:4" x14ac:dyDescent="0.3">
      <c r="A8" t="s">
        <v>10</v>
      </c>
      <c r="B8">
        <v>45</v>
      </c>
      <c r="C8">
        <f t="shared" si="1"/>
        <v>1629</v>
      </c>
      <c r="D8" s="2">
        <f t="shared" si="0"/>
        <v>94.599303135888505</v>
      </c>
    </row>
    <row r="9" spans="1:4" x14ac:dyDescent="0.3">
      <c r="A9" t="s">
        <v>5</v>
      </c>
      <c r="B9">
        <v>30</v>
      </c>
      <c r="C9">
        <f t="shared" si="1"/>
        <v>1659</v>
      </c>
      <c r="D9" s="2">
        <f t="shared" si="0"/>
        <v>96.341463414634148</v>
      </c>
    </row>
    <row r="10" spans="1:4" x14ac:dyDescent="0.3">
      <c r="A10" t="s">
        <v>6</v>
      </c>
      <c r="B10">
        <v>27</v>
      </c>
      <c r="C10">
        <f t="shared" si="1"/>
        <v>1686</v>
      </c>
      <c r="D10" s="2">
        <f t="shared" si="0"/>
        <v>97.909407665505228</v>
      </c>
    </row>
    <row r="11" spans="1:4" x14ac:dyDescent="0.3">
      <c r="A11" t="s">
        <v>9</v>
      </c>
      <c r="B11">
        <v>15</v>
      </c>
      <c r="C11">
        <f t="shared" si="1"/>
        <v>1701</v>
      </c>
      <c r="D11" s="2">
        <f t="shared" si="0"/>
        <v>98.780487804878049</v>
      </c>
    </row>
    <row r="12" spans="1:4" ht="15" customHeight="1" x14ac:dyDescent="0.3">
      <c r="A12" t="s">
        <v>4</v>
      </c>
      <c r="B12">
        <v>12</v>
      </c>
      <c r="C12">
        <f t="shared" si="1"/>
        <v>1713</v>
      </c>
      <c r="D12" s="2">
        <f t="shared" si="0"/>
        <v>99.477351916376307</v>
      </c>
    </row>
    <row r="13" spans="1:4" x14ac:dyDescent="0.3">
      <c r="A13" t="s">
        <v>3</v>
      </c>
      <c r="B13">
        <v>9</v>
      </c>
      <c r="C13">
        <f t="shared" si="1"/>
        <v>1722</v>
      </c>
      <c r="D13" s="2">
        <f t="shared" si="0"/>
        <v>100</v>
      </c>
    </row>
    <row r="18" spans="1:4" x14ac:dyDescent="0.3">
      <c r="A18" s="1" t="s">
        <v>12</v>
      </c>
      <c r="B18" s="1" t="s">
        <v>0</v>
      </c>
      <c r="C18" s="1" t="s">
        <v>14</v>
      </c>
      <c r="D18" s="1" t="s">
        <v>13</v>
      </c>
    </row>
    <row r="19" spans="1:4" x14ac:dyDescent="0.3">
      <c r="A19" t="s">
        <v>7</v>
      </c>
      <c r="B19">
        <v>789</v>
      </c>
      <c r="C19">
        <v>789</v>
      </c>
      <c r="D19" s="2">
        <f>(C19/$C$28)*100</f>
        <v>45.818815331010455</v>
      </c>
    </row>
    <row r="20" spans="1:4" x14ac:dyDescent="0.3">
      <c r="A20" t="s">
        <v>2</v>
      </c>
      <c r="B20">
        <v>621</v>
      </c>
      <c r="C20">
        <f>C19+B20</f>
        <v>1410</v>
      </c>
      <c r="D20" s="2">
        <f t="shared" ref="D20:D28" si="2">(C20/$C$28)*100</f>
        <v>81.881533101045306</v>
      </c>
    </row>
    <row r="21" spans="1:4" x14ac:dyDescent="0.3">
      <c r="A21" t="s">
        <v>11</v>
      </c>
      <c r="B21">
        <v>109</v>
      </c>
      <c r="C21">
        <f t="shared" ref="C21:C28" si="3">C20+B21</f>
        <v>1519</v>
      </c>
      <c r="D21" s="2">
        <f t="shared" si="2"/>
        <v>88.211382113821131</v>
      </c>
    </row>
    <row r="22" spans="1:4" x14ac:dyDescent="0.3">
      <c r="A22" t="s">
        <v>8</v>
      </c>
      <c r="B22">
        <v>65</v>
      </c>
      <c r="C22">
        <f t="shared" si="3"/>
        <v>1584</v>
      </c>
      <c r="D22" s="2">
        <f t="shared" si="2"/>
        <v>91.986062717770039</v>
      </c>
    </row>
    <row r="23" spans="1:4" x14ac:dyDescent="0.3">
      <c r="A23" t="s">
        <v>10</v>
      </c>
      <c r="B23">
        <v>45</v>
      </c>
      <c r="C23">
        <f t="shared" si="3"/>
        <v>1629</v>
      </c>
      <c r="D23" s="2">
        <f t="shared" si="2"/>
        <v>94.599303135888505</v>
      </c>
    </row>
    <row r="24" spans="1:4" x14ac:dyDescent="0.3">
      <c r="A24" t="s">
        <v>5</v>
      </c>
      <c r="B24">
        <v>30</v>
      </c>
      <c r="C24">
        <f t="shared" si="3"/>
        <v>1659</v>
      </c>
      <c r="D24" s="2">
        <f t="shared" si="2"/>
        <v>96.341463414634148</v>
      </c>
    </row>
    <row r="25" spans="1:4" x14ac:dyDescent="0.3">
      <c r="A25" t="s">
        <v>6</v>
      </c>
      <c r="B25">
        <v>27</v>
      </c>
      <c r="C25">
        <f t="shared" si="3"/>
        <v>1686</v>
      </c>
      <c r="D25" s="2">
        <f t="shared" si="2"/>
        <v>97.909407665505228</v>
      </c>
    </row>
    <row r="26" spans="1:4" x14ac:dyDescent="0.3">
      <c r="A26" t="s">
        <v>9</v>
      </c>
      <c r="B26">
        <v>15</v>
      </c>
      <c r="C26">
        <f t="shared" si="3"/>
        <v>1701</v>
      </c>
      <c r="D26" s="2">
        <f t="shared" si="2"/>
        <v>98.780487804878049</v>
      </c>
    </row>
    <row r="27" spans="1:4" x14ac:dyDescent="0.3">
      <c r="A27" t="s">
        <v>4</v>
      </c>
      <c r="B27">
        <v>12</v>
      </c>
      <c r="C27">
        <f t="shared" si="3"/>
        <v>1713</v>
      </c>
      <c r="D27" s="2">
        <f t="shared" si="2"/>
        <v>99.477351916376307</v>
      </c>
    </row>
    <row r="28" spans="1:4" x14ac:dyDescent="0.3">
      <c r="A28" t="s">
        <v>3</v>
      </c>
      <c r="B28">
        <v>9</v>
      </c>
      <c r="C28">
        <f t="shared" si="3"/>
        <v>1722</v>
      </c>
      <c r="D28" s="2">
        <f t="shared" si="2"/>
        <v>100</v>
      </c>
    </row>
  </sheetData>
  <mergeCells count="1">
    <mergeCell ref="A1:B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Excel 2016 or later</vt:lpstr>
      <vt:lpstr>All Versions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excel-easy.com</dc:creator>
  <cp:lastModifiedBy>Samiksha Janjirkar</cp:lastModifiedBy>
  <dcterms:created xsi:type="dcterms:W3CDTF">2011-12-15T14:58:52Z</dcterms:created>
  <dcterms:modified xsi:type="dcterms:W3CDTF">2026-02-06T11:03:15Z</dcterms:modified>
</cp:coreProperties>
</file>